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KPI Dashboard" sheetId="1" state="visible" r:id="rId1"/>
    <sheet xmlns:r="http://schemas.openxmlformats.org/officeDocument/2006/relationships" name="👥 Subscriptions Master" sheetId="2" state="visible" r:id="rId2"/>
    <sheet xmlns:r="http://schemas.openxmlformats.org/officeDocument/2006/relationships" name="🚚 Daily Delivery Log" sheetId="3" state="visible" r:id="rId3"/>
    <sheet xmlns:r="http://schemas.openxmlformats.org/officeDocument/2006/relationships" name="💰 Fee Collection" sheetId="4" state="visible" r:id="rId4"/>
    <sheet xmlns:r="http://schemas.openxmlformats.org/officeDocument/2006/relationships" name="📦 Inventory &amp; Demand Forec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64748B"/>
      <sz val="9"/>
    </font>
    <font>
      <name val="Segoe UI"/>
      <b val="1"/>
      <color rgb="0064748B"/>
      <sz val="9"/>
    </font>
    <font>
      <name val="Segoe UI"/>
      <b val="1"/>
      <color rgb="00097E63"/>
      <sz val="18"/>
    </font>
    <font>
      <name val="Segoe UI"/>
      <color rgb="0094A3B8"/>
      <sz val="8"/>
    </font>
    <font>
      <name val="Segoe UI"/>
      <b val="1"/>
      <color rgb="00097E63"/>
      <sz val="12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97E63"/>
        <bgColor rgb="00097E63"/>
      </patternFill>
    </fill>
    <fill>
      <patternFill patternType="solid">
        <fgColor rgb="00F1F5F9"/>
        <bgColor rgb="00F1F5F9"/>
      </patternFill>
    </fill>
    <fill>
      <patternFill patternType="solid">
        <fgColor rgb="00E6F4F1"/>
        <bgColor rgb="00E6F4F1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9" fillId="4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14" customWidth="1" min="1" max="1"/>
    <col width="63" customWidth="1" min="2" max="2"/>
    <col width="45" customWidth="1" min="3" max="3"/>
    <col width="98" customWidth="1" min="4" max="4"/>
    <col width="51" customWidth="1" min="5" max="5"/>
    <col width="57" customWidth="1" min="6" max="6"/>
    <col width="13" customWidth="1" min="7" max="7"/>
  </cols>
  <sheetData>
    <row r="1">
      <c r="A1" s="1" t="inlineStr">
        <is>
          <t xml:space="preserve">  TOMORROWNEEDS - SUBSCRIPTION BUSINESS EXECUTIVE DASHBOARD</t>
        </is>
      </c>
    </row>
    <row r="2"/>
    <row r="3">
      <c r="A3" s="2" t="inlineStr">
        <is>
          <t>Real-time Metrics: Monthly Recurring Revenue (MRR), Active Subscribers, Delivery Fulfillment &amp; Fee Collections</t>
        </is>
      </c>
    </row>
    <row r="4"/>
    <row r="5">
      <c r="B5" s="3" t="inlineStr">
        <is>
          <t>ACTIVE SUBSCRIBERS</t>
        </is>
      </c>
      <c r="C5" s="3" t="inlineStr">
        <is>
          <t>MONTHLY REC. REVENUE (MRR)</t>
        </is>
      </c>
      <c r="D5" s="3" t="inlineStr">
        <is>
          <t>FEES COLLECTED (MTD)</t>
        </is>
      </c>
      <c r="E5" s="3" t="inlineStr">
        <is>
          <t>PENDING DUES</t>
        </is>
      </c>
      <c r="F5" s="3" t="inlineStr">
        <is>
          <t>DAILY DELIVERIES TODAY</t>
        </is>
      </c>
    </row>
    <row r="6">
      <c r="B6" s="4">
        <f>'👥 Subscriptions Master'!L2</f>
        <v/>
      </c>
      <c r="C6" s="5">
        <f>SUM('👥 Subscriptions Master'!I3:I50)</f>
        <v/>
      </c>
      <c r="D6" s="5">
        <f>SUM('💰 Fee Collection'!G3:G50)</f>
        <v/>
      </c>
      <c r="E6" s="5">
        <f>SUM('💰 Fee Collection'!K3:K50)</f>
        <v/>
      </c>
      <c r="F6" s="4">
        <f>COUNTIF('🚚 Daily Delivery Log'!G3:G100, "Delivered")</f>
        <v/>
      </c>
    </row>
    <row r="7">
      <c r="B7" s="6" t="inlineStr">
        <is>
          <t>Total paid active customers</t>
        </is>
      </c>
      <c r="C7" s="6" t="inlineStr">
        <is>
          <t>Expected monthly revenue</t>
        </is>
      </c>
      <c r="D7" s="6" t="inlineStr">
        <is>
          <t>Realized revenue collected</t>
        </is>
      </c>
      <c r="E7" s="6" t="inlineStr">
        <is>
          <t>Outstanding payment balance</t>
        </is>
      </c>
      <c r="F7" s="6" t="inlineStr">
        <is>
          <t>Successful daily drop-offs</t>
        </is>
      </c>
    </row>
    <row r="8"/>
    <row r="9">
      <c r="B9" s="7" t="inlineStr">
        <is>
          <t>HOW TO TRACK YOUR BUSINESS (DAILY, WEEKLY, MONTHLY CADENCE)</t>
        </is>
      </c>
    </row>
    <row r="10">
      <c r="B10" s="8" t="inlineStr">
        <is>
          <t>Cadence</t>
        </is>
      </c>
      <c r="C10" s="8" t="inlineStr">
        <is>
          <t>Responsible</t>
        </is>
      </c>
      <c r="D10" s="8" t="inlineStr">
        <is>
          <t>Key Activities to Review</t>
        </is>
      </c>
      <c r="E10" s="8" t="inlineStr">
        <is>
          <t>Target KPI / Health Indicator</t>
        </is>
      </c>
    </row>
    <row r="11">
      <c r="B11" s="9" t="inlineStr">
        <is>
          <t>DAILY (Evening 7:00 PM)</t>
        </is>
      </c>
      <c r="C11" s="10" t="inlineStr">
        <is>
          <t>Store Operations</t>
        </is>
      </c>
      <c r="D11" s="10" t="inlineStr">
        <is>
          <t>Review pause/resume requests for tomorrow; check raw milk/batter/veggie procurement count.</t>
        </is>
      </c>
      <c r="E11" s="10" t="inlineStr">
        <is>
          <t>0 Missed deliveries, 100% order prep by 6:00 AM</t>
        </is>
      </c>
    </row>
    <row r="12">
      <c r="B12" s="9" t="inlineStr">
        <is>
          <t>DAILY (Morning 8:30 AM)</t>
        </is>
      </c>
      <c r="C12" s="10" t="inlineStr">
        <is>
          <t>Delivery Fleet</t>
        </is>
      </c>
      <c r="D12" s="10" t="inlineStr">
        <is>
          <t>Verify morning doorstep drops (Log sheet); flag unreachable customers or wrong gate drops.</t>
        </is>
      </c>
      <c r="E12" s="10" t="inlineStr">
        <is>
          <t>Fulfillment Rate &gt; 99.5% by 7:00 AM</t>
        </is>
      </c>
    </row>
    <row r="13">
      <c r="B13" s="9" t="inlineStr">
        <is>
          <t>DAILY (Midday 12:00 PM)</t>
        </is>
      </c>
      <c r="C13" s="10" t="inlineStr">
        <is>
          <t>Accounts / Admin</t>
        </is>
      </c>
      <c r="D13" s="10" t="inlineStr">
        <is>
          <t>Check wallet balances &lt; ₹200; auto-remind customers via WhatsApp / App push to top up.</t>
        </is>
      </c>
      <c r="E13" s="10" t="inlineStr">
        <is>
          <t>Wallet health &gt; 80% positive balance</t>
        </is>
      </c>
    </row>
    <row r="14">
      <c r="B14" s="9" t="inlineStr">
        <is>
          <t>WEEKLY (Every Monday)</t>
        </is>
      </c>
      <c r="C14" s="10" t="inlineStr">
        <is>
          <t>Growth &amp; Marketing</t>
        </is>
      </c>
      <c r="D14" s="10" t="inlineStr">
        <is>
          <t>Analyze new subscription additions vs cancellations (churn); review trial-to-paid conversion.</t>
        </is>
      </c>
      <c r="E14" s="10" t="inlineStr">
        <is>
          <t>Weekly Net Growth Rate &gt; 5%</t>
        </is>
      </c>
    </row>
    <row r="15">
      <c r="B15" s="9" t="inlineStr">
        <is>
          <t>WEEKLY (Every Friday)</t>
        </is>
      </c>
      <c r="C15" s="10" t="inlineStr">
        <is>
          <t>Procurement / Vendors</t>
        </is>
      </c>
      <c r="D15" s="10" t="inlineStr">
        <is>
          <t>Reconcile vendor batch rates, wastage % (greens/fruits), and packaging supply inventory.</t>
        </is>
      </c>
      <c r="E15" s="10" t="inlineStr">
        <is>
          <t>Wastage Loss &lt; 3.5% of total procurement</t>
        </is>
      </c>
    </row>
    <row r="16">
      <c r="B16" s="9" t="inlineStr">
        <is>
          <t>MONTHLY (1st of Month)</t>
        </is>
      </c>
      <c r="C16" s="10" t="inlineStr">
        <is>
          <t>Business Owner</t>
        </is>
      </c>
      <c r="D16" s="10" t="inlineStr">
        <is>
          <t>Audit MRR, total fees collected, subscription renewals, average customer lifetime value (LTV).</t>
        </is>
      </c>
      <c r="E16" s="10" t="inlineStr">
        <is>
          <t>Collection Efficiency &gt; 98%, Churn &lt; 4%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23" customWidth="1" min="2" max="2"/>
    <col width="20" customWidth="1" min="3" max="3"/>
    <col width="27" customWidth="1" min="4" max="4"/>
    <col width="29" customWidth="1" min="5" max="5"/>
    <col width="39" customWidth="1" min="6" max="6"/>
    <col width="19" customWidth="1" min="7" max="7"/>
    <col width="13" customWidth="1" min="8" max="8"/>
    <col width="24" customWidth="1" min="9" max="9"/>
    <col width="14" customWidth="1" min="10" max="10"/>
    <col width="13" customWidth="1" min="11" max="11"/>
    <col width="22" customWidth="1" min="12" max="12"/>
    <col width="21" customWidth="1" min="13" max="13"/>
    <col width="16" customWidth="1" min="14" max="14"/>
  </cols>
  <sheetData>
    <row r="1">
      <c r="A1" s="7" t="inlineStr">
        <is>
          <t>TOMORROWNEEDS - ACTIVE &amp; RECURRING SUBSCRIPTIONS MASTER DIRECTORY</t>
        </is>
      </c>
    </row>
    <row r="2">
      <c r="A2" s="8" t="inlineStr">
        <is>
          <t>Cust ID</t>
        </is>
      </c>
      <c r="B2" s="8" t="inlineStr">
        <is>
          <t>Customer Name</t>
        </is>
      </c>
      <c r="C2" s="8" t="inlineStr">
        <is>
          <t>Phone / WhatsApp</t>
        </is>
      </c>
      <c r="D2" s="8" t="inlineStr">
        <is>
          <t>Delivery Zone / Pincode</t>
        </is>
      </c>
      <c r="E2" s="8" t="inlineStr">
        <is>
          <t>Door / Flat / Apartment</t>
        </is>
      </c>
      <c r="F2" s="8" t="inlineStr">
        <is>
          <t>Subscribed Plan / Items</t>
        </is>
      </c>
      <c r="G2" s="8" t="inlineStr">
        <is>
          <t>Frequency</t>
        </is>
      </c>
      <c r="H2" s="8" t="inlineStr">
        <is>
          <t>Daily Qty</t>
        </is>
      </c>
      <c r="I2" s="8" t="inlineStr">
        <is>
          <t>Monthly Plan Fee (₹)</t>
        </is>
      </c>
      <c r="J2" s="8" t="inlineStr">
        <is>
          <t>Start Date</t>
        </is>
      </c>
      <c r="K2" s="8" t="inlineStr">
        <is>
          <t>Status</t>
        </is>
      </c>
      <c r="L2" s="8" t="inlineStr">
        <is>
          <t>Wallet Balance (₹)</t>
        </is>
      </c>
      <c r="M2" s="8" t="inlineStr">
        <is>
          <t>Next Billing Date</t>
        </is>
      </c>
      <c r="N2" s="8" t="inlineStr">
        <is>
          <t>Auto-Renew</t>
        </is>
      </c>
    </row>
    <row r="3">
      <c r="A3" s="11" t="inlineStr">
        <is>
          <t>TN-SUB-101</t>
        </is>
      </c>
      <c r="B3" s="12" t="inlineStr">
        <is>
          <t>Ramesh Kumar</t>
        </is>
      </c>
      <c r="C3" s="12" t="inlineStr">
        <is>
          <t>9840123456</t>
        </is>
      </c>
      <c r="D3" s="12" t="inlineStr">
        <is>
          <t>Chennai - 600095</t>
        </is>
      </c>
      <c r="E3" s="12" t="inlineStr">
        <is>
          <t>Flat 402, Green Acres Apt</t>
        </is>
      </c>
      <c r="F3" s="12" t="inlineStr">
        <is>
          <t>Farm Fresh Buffalo Milk</t>
        </is>
      </c>
      <c r="G3" s="11" t="inlineStr">
        <is>
          <t>Daily</t>
        </is>
      </c>
      <c r="H3" s="11" t="inlineStr">
        <is>
          <t>1 Litre</t>
        </is>
      </c>
      <c r="I3" s="13" t="n">
        <v>2100</v>
      </c>
      <c r="J3" s="11" t="inlineStr">
        <is>
          <t>2026-09-01</t>
        </is>
      </c>
      <c r="K3" s="11" t="inlineStr">
        <is>
          <t>Active</t>
        </is>
      </c>
      <c r="L3" s="13" t="n">
        <v>850</v>
      </c>
      <c r="M3" s="11" t="inlineStr">
        <is>
          <t>2026-11-01</t>
        </is>
      </c>
      <c r="N3" s="11" t="inlineStr">
        <is>
          <t>Yes (Wallet)</t>
        </is>
      </c>
    </row>
    <row r="4">
      <c r="A4" s="11" t="inlineStr">
        <is>
          <t>TN-SUB-102</t>
        </is>
      </c>
      <c r="B4" s="12" t="inlineStr">
        <is>
          <t>Priya Sundaram</t>
        </is>
      </c>
      <c r="C4" s="12" t="inlineStr">
        <is>
          <t>9840234567</t>
        </is>
      </c>
      <c r="D4" s="12" t="inlineStr">
        <is>
          <t>Chennai - 600095</t>
        </is>
      </c>
      <c r="E4" s="12" t="inlineStr">
        <is>
          <t>Plot 12, Anna Nagar West</t>
        </is>
      </c>
      <c r="F4" s="12" t="inlineStr">
        <is>
          <t>Stoneground Idli/Dosa Batter</t>
        </is>
      </c>
      <c r="G4" s="11" t="inlineStr">
        <is>
          <t>Alternate Days</t>
        </is>
      </c>
      <c r="H4" s="11" t="inlineStr">
        <is>
          <t>1 Kg</t>
        </is>
      </c>
      <c r="I4" s="13" t="n">
        <v>750</v>
      </c>
      <c r="J4" s="11" t="inlineStr">
        <is>
          <t>2026-09-15</t>
        </is>
      </c>
      <c r="K4" s="11" t="inlineStr">
        <is>
          <t>Active</t>
        </is>
      </c>
      <c r="L4" s="13" t="n">
        <v>420</v>
      </c>
      <c r="M4" s="11" t="inlineStr">
        <is>
          <t>2026-10-15</t>
        </is>
      </c>
      <c r="N4" s="11" t="inlineStr">
        <is>
          <t>Yes (Wallet)</t>
        </is>
      </c>
    </row>
    <row r="5">
      <c r="A5" s="11" t="inlineStr">
        <is>
          <t>TN-SUB-103</t>
        </is>
      </c>
      <c r="B5" s="12" t="inlineStr">
        <is>
          <t>Anand Venkatesh</t>
        </is>
      </c>
      <c r="C5" s="12" t="inlineStr">
        <is>
          <t>9840345678</t>
        </is>
      </c>
      <c r="D5" s="12" t="inlineStr">
        <is>
          <t>Chennai - 600028</t>
        </is>
      </c>
      <c r="E5" s="12" t="inlineStr">
        <is>
          <t>Villa 9, Palm Meadows</t>
        </is>
      </c>
      <c r="F5" s="12" t="inlineStr">
        <is>
          <t>Organic Vegetables Basket (5kg)</t>
        </is>
      </c>
      <c r="G5" s="11" t="inlineStr">
        <is>
          <t>Weekly (Sat)</t>
        </is>
      </c>
      <c r="H5" s="11" t="inlineStr">
        <is>
          <t>1 Basket</t>
        </is>
      </c>
      <c r="I5" s="13" t="n">
        <v>1400</v>
      </c>
      <c r="J5" s="11" t="inlineStr">
        <is>
          <t>2026-08-01</t>
        </is>
      </c>
      <c r="K5" s="11" t="inlineStr">
        <is>
          <t>Active</t>
        </is>
      </c>
      <c r="L5" s="13" t="n">
        <v>1200</v>
      </c>
      <c r="M5" s="11" t="inlineStr">
        <is>
          <t>2026-11-01</t>
        </is>
      </c>
      <c r="N5" s="11" t="inlineStr">
        <is>
          <t>Manual UPI</t>
        </is>
      </c>
    </row>
    <row r="6">
      <c r="A6" s="11" t="inlineStr">
        <is>
          <t>TN-SUB-104</t>
        </is>
      </c>
      <c r="B6" s="12" t="inlineStr">
        <is>
          <t>Deepa Mohan</t>
        </is>
      </c>
      <c r="C6" s="12" t="inlineStr">
        <is>
          <t>9840456789</t>
        </is>
      </c>
      <c r="D6" s="12" t="inlineStr">
        <is>
          <t>Chennai - 600095</t>
        </is>
      </c>
      <c r="E6" s="12" t="inlineStr">
        <is>
          <t>Door 18, 3rd Cross Street</t>
        </is>
      </c>
      <c r="F6" s="12" t="inlineStr">
        <is>
          <t>Fresh Country Cow Milk</t>
        </is>
      </c>
      <c r="G6" s="11" t="inlineStr">
        <is>
          <t>Daily</t>
        </is>
      </c>
      <c r="H6" s="11" t="inlineStr">
        <is>
          <t>500 ml</t>
        </is>
      </c>
      <c r="I6" s="13" t="n">
        <v>1200</v>
      </c>
      <c r="J6" s="11" t="inlineStr">
        <is>
          <t>2026-09-20</t>
        </is>
      </c>
      <c r="K6" s="11" t="inlineStr">
        <is>
          <t>Active</t>
        </is>
      </c>
      <c r="L6" s="13" t="n">
        <v>150</v>
      </c>
      <c r="M6" s="11" t="inlineStr">
        <is>
          <t>2026-10-20</t>
        </is>
      </c>
      <c r="N6" s="11" t="inlineStr">
        <is>
          <t>Yes (Wallet)</t>
        </is>
      </c>
    </row>
    <row r="7">
      <c r="A7" s="11" t="inlineStr">
        <is>
          <t>TN-SUB-105</t>
        </is>
      </c>
      <c r="B7" s="12" t="inlineStr">
        <is>
          <t>Karthik Subramanian</t>
        </is>
      </c>
      <c r="C7" s="12" t="inlineStr">
        <is>
          <t>9840567890</t>
        </is>
      </c>
      <c r="D7" s="12" t="inlineStr">
        <is>
          <t>Chennai - 600041</t>
        </is>
      </c>
      <c r="E7" s="12" t="inlineStr">
        <is>
          <t>B-301, Skyline Towers</t>
        </is>
      </c>
      <c r="F7" s="12" t="inlineStr">
        <is>
          <t>Cold-Pressed Sesame &amp; Groundnut Oil</t>
        </is>
      </c>
      <c r="G7" s="11" t="inlineStr">
        <is>
          <t>Monthly</t>
        </is>
      </c>
      <c r="H7" s="11" t="inlineStr">
        <is>
          <t>2 Litres</t>
        </is>
      </c>
      <c r="I7" s="13" t="n">
        <v>900</v>
      </c>
      <c r="J7" s="11" t="inlineStr">
        <is>
          <t>2026-09-01</t>
        </is>
      </c>
      <c r="K7" s="11" t="inlineStr">
        <is>
          <t>Active</t>
        </is>
      </c>
      <c r="L7" s="13" t="n">
        <v>900</v>
      </c>
      <c r="M7" s="11" t="inlineStr">
        <is>
          <t>2026-11-01</t>
        </is>
      </c>
      <c r="N7" s="11" t="inlineStr">
        <is>
          <t>Yes (Wallet)</t>
        </is>
      </c>
    </row>
    <row r="8">
      <c r="A8" s="11" t="inlineStr">
        <is>
          <t>TN-SUB-106</t>
        </is>
      </c>
      <c r="B8" s="12" t="inlineStr">
        <is>
          <t>Sneha Balaji</t>
        </is>
      </c>
      <c r="C8" s="12" t="inlineStr">
        <is>
          <t>9840678901</t>
        </is>
      </c>
      <c r="D8" s="12" t="inlineStr">
        <is>
          <t>Chennai - 600095</t>
        </is>
      </c>
      <c r="E8" s="12" t="inlineStr">
        <is>
          <t>Flat 104, Oasis Heights</t>
        </is>
      </c>
      <c r="F8" s="12" t="inlineStr">
        <is>
          <t>Fresh Greens &amp; Spinach Combo</t>
        </is>
      </c>
      <c r="G8" s="11" t="inlineStr">
        <is>
          <t>Mon / Wed / Fri</t>
        </is>
      </c>
      <c r="H8" s="11" t="inlineStr">
        <is>
          <t>2 Bunches</t>
        </is>
      </c>
      <c r="I8" s="13" t="n">
        <v>480</v>
      </c>
      <c r="J8" s="11" t="inlineStr">
        <is>
          <t>2026-10-01</t>
        </is>
      </c>
      <c r="K8" s="11" t="inlineStr">
        <is>
          <t>Paused</t>
        </is>
      </c>
      <c r="L8" s="13" t="n">
        <v>300</v>
      </c>
      <c r="M8" s="11" t="inlineStr">
        <is>
          <t>2026-11-01</t>
        </is>
      </c>
      <c r="N8" s="11" t="inlineStr">
        <is>
          <t>Manual UPI</t>
        </is>
      </c>
    </row>
    <row r="9">
      <c r="A9" s="11" t="inlineStr">
        <is>
          <t>TN-SUB-107</t>
        </is>
      </c>
      <c r="B9" s="12" t="inlineStr">
        <is>
          <t>Manoj Prabhakar</t>
        </is>
      </c>
      <c r="C9" s="12" t="inlineStr">
        <is>
          <t>9840789012</t>
        </is>
      </c>
      <c r="D9" s="12" t="inlineStr">
        <is>
          <t>Chennai - 600028</t>
        </is>
      </c>
      <c r="E9" s="12" t="inlineStr">
        <is>
          <t>No 54, Gandhi Road</t>
        </is>
      </c>
      <c r="F9" s="12" t="inlineStr">
        <is>
          <t>Farm Fresh Cow Milk + Batter</t>
        </is>
      </c>
      <c r="G9" s="11" t="inlineStr">
        <is>
          <t>Daily</t>
        </is>
      </c>
      <c r="H9" s="11" t="inlineStr">
        <is>
          <t>1L + 1Kg</t>
        </is>
      </c>
      <c r="I9" s="13" t="n">
        <v>2850</v>
      </c>
      <c r="J9" s="11" t="inlineStr">
        <is>
          <t>2026-07-01</t>
        </is>
      </c>
      <c r="K9" s="11" t="inlineStr">
        <is>
          <t>Active</t>
        </is>
      </c>
      <c r="L9" s="13" t="n">
        <v>2100</v>
      </c>
      <c r="M9" s="11" t="inlineStr">
        <is>
          <t>2026-11-01</t>
        </is>
      </c>
      <c r="N9" s="11" t="inlineStr">
        <is>
          <t>Yes (Wallet)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0" customWidth="1" min="2" max="2"/>
    <col width="14" customWidth="1" min="3" max="3"/>
    <col width="19" customWidth="1" min="4" max="4"/>
    <col width="29" customWidth="1" min="5" max="5"/>
    <col width="35" customWidth="1" min="6" max="6"/>
    <col width="22" customWidth="1" min="7" max="7"/>
    <col width="23" customWidth="1" min="8" max="8"/>
    <col width="16" customWidth="1" min="9" max="9"/>
    <col width="30" customWidth="1" min="10" max="10"/>
  </cols>
  <sheetData>
    <row r="1">
      <c r="A1" s="7" t="inlineStr">
        <is>
          <t>TOMORROWNEEDS - MORNING 7:00 AM FULFILLMENT &amp; DISPATCH LOG</t>
        </is>
      </c>
    </row>
    <row r="2">
      <c r="A2" s="8" t="inlineStr">
        <is>
          <t>Date</t>
        </is>
      </c>
      <c r="B2" s="8" t="inlineStr">
        <is>
          <t>Slot Time</t>
        </is>
      </c>
      <c r="C2" s="8" t="inlineStr">
        <is>
          <t>Cust ID</t>
        </is>
      </c>
      <c r="D2" s="8" t="inlineStr">
        <is>
          <t>Customer Name</t>
        </is>
      </c>
      <c r="E2" s="8" t="inlineStr">
        <is>
          <t>Delivery Address</t>
        </is>
      </c>
      <c r="F2" s="8" t="inlineStr">
        <is>
          <t>Subscribed Items to Pack</t>
        </is>
      </c>
      <c r="G2" s="8" t="inlineStr">
        <is>
          <t>Fulfillment Status</t>
        </is>
      </c>
      <c r="H2" s="8" t="inlineStr">
        <is>
          <t>Delivery Executive</t>
        </is>
      </c>
      <c r="I2" s="8" t="inlineStr">
        <is>
          <t>Delivered At</t>
        </is>
      </c>
      <c r="J2" s="8" t="inlineStr">
        <is>
          <t>Customer Notes / Gate Code</t>
        </is>
      </c>
    </row>
    <row r="3">
      <c r="A3" s="11" t="inlineStr">
        <is>
          <t>2026-10-04</t>
        </is>
      </c>
      <c r="B3" s="11" t="inlineStr">
        <is>
          <t>06:00 - 07:00 AM</t>
        </is>
      </c>
      <c r="C3" s="11" t="inlineStr">
        <is>
          <t>TN-SUB-101</t>
        </is>
      </c>
      <c r="D3" s="12" t="inlineStr">
        <is>
          <t>Ramesh Kumar</t>
        </is>
      </c>
      <c r="E3" s="12" t="inlineStr">
        <is>
          <t>Flat 402, Green Acres Apt</t>
        </is>
      </c>
      <c r="F3" s="12" t="inlineStr">
        <is>
          <t>1L Buffalo Milk (Chilled Pouch)</t>
        </is>
      </c>
      <c r="G3" s="14" t="inlineStr">
        <is>
          <t>Delivered</t>
        </is>
      </c>
      <c r="H3" s="12" t="inlineStr">
        <is>
          <t>Murugan (Rider 1)</t>
        </is>
      </c>
      <c r="I3" s="11" t="inlineStr">
        <is>
          <t>06:22 AM</t>
        </is>
      </c>
      <c r="J3" s="12" t="inlineStr">
        <is>
          <t>Leave inside door bag</t>
        </is>
      </c>
    </row>
    <row r="4">
      <c r="A4" s="11" t="inlineStr">
        <is>
          <t>2026-10-04</t>
        </is>
      </c>
      <c r="B4" s="11" t="inlineStr">
        <is>
          <t>06:00 - 07:00 AM</t>
        </is>
      </c>
      <c r="C4" s="11" t="inlineStr">
        <is>
          <t>TN-SUB-102</t>
        </is>
      </c>
      <c r="D4" s="12" t="inlineStr">
        <is>
          <t>Priya Sundaram</t>
        </is>
      </c>
      <c r="E4" s="12" t="inlineStr">
        <is>
          <t>Plot 12, Anna Nagar West</t>
        </is>
      </c>
      <c r="F4" s="12" t="inlineStr">
        <is>
          <t>1Kg Idli/Dosa Batter</t>
        </is>
      </c>
      <c r="G4" s="14" t="inlineStr">
        <is>
          <t>Delivered</t>
        </is>
      </c>
      <c r="H4" s="12" t="inlineStr">
        <is>
          <t>Murugan (Rider 1)</t>
        </is>
      </c>
      <c r="I4" s="11" t="inlineStr">
        <is>
          <t>06:35 AM</t>
        </is>
      </c>
      <c r="J4" s="12" t="inlineStr">
        <is>
          <t>Ring bell once</t>
        </is>
      </c>
    </row>
    <row r="5">
      <c r="A5" s="11" t="inlineStr">
        <is>
          <t>2026-10-04</t>
        </is>
      </c>
      <c r="B5" s="11" t="inlineStr">
        <is>
          <t>06:00 - 07:00 AM</t>
        </is>
      </c>
      <c r="C5" s="11" t="inlineStr">
        <is>
          <t>TN-SUB-104</t>
        </is>
      </c>
      <c r="D5" s="12" t="inlineStr">
        <is>
          <t>Deepa Mohan</t>
        </is>
      </c>
      <c r="E5" s="12" t="inlineStr">
        <is>
          <t>Door 18, 3rd Cross Street</t>
        </is>
      </c>
      <c r="F5" s="12" t="inlineStr">
        <is>
          <t>500ml Country Cow Milk</t>
        </is>
      </c>
      <c r="G5" s="14" t="inlineStr">
        <is>
          <t>Delivered</t>
        </is>
      </c>
      <c r="H5" s="12" t="inlineStr">
        <is>
          <t>Saravanan (Rider 2)</t>
        </is>
      </c>
      <c r="I5" s="11" t="inlineStr">
        <is>
          <t>06:15 AM</t>
        </is>
      </c>
      <c r="J5" s="12" t="inlineStr">
        <is>
          <t>Keep in milk box</t>
        </is>
      </c>
    </row>
    <row r="6">
      <c r="A6" s="11" t="inlineStr">
        <is>
          <t>2026-10-04</t>
        </is>
      </c>
      <c r="B6" s="11" t="inlineStr">
        <is>
          <t>06:00 - 07:00 AM</t>
        </is>
      </c>
      <c r="C6" s="11" t="inlineStr">
        <is>
          <t>TN-SUB-107</t>
        </is>
      </c>
      <c r="D6" s="12" t="inlineStr">
        <is>
          <t>Manoj Prabhakar</t>
        </is>
      </c>
      <c r="E6" s="12" t="inlineStr">
        <is>
          <t>No 54, Gandhi Road</t>
        </is>
      </c>
      <c r="F6" s="12" t="inlineStr">
        <is>
          <t>1L Cow Milk + 1Kg Batter</t>
        </is>
      </c>
      <c r="G6" s="14" t="inlineStr">
        <is>
          <t>Delivered</t>
        </is>
      </c>
      <c r="H6" s="12" t="inlineStr">
        <is>
          <t>Saravanan (Rider 2)</t>
        </is>
      </c>
      <c r="I6" s="11" t="inlineStr">
        <is>
          <t>06:48 AM</t>
        </is>
      </c>
      <c r="J6" s="12" t="inlineStr">
        <is>
          <t>Door hook drop</t>
        </is>
      </c>
    </row>
    <row r="7">
      <c r="A7" s="11" t="inlineStr">
        <is>
          <t>2026-10-05</t>
        </is>
      </c>
      <c r="B7" s="11" t="inlineStr">
        <is>
          <t>06:00 - 07:00 AM</t>
        </is>
      </c>
      <c r="C7" s="11" t="inlineStr">
        <is>
          <t>TN-SUB-101</t>
        </is>
      </c>
      <c r="D7" s="12" t="inlineStr">
        <is>
          <t>Ramesh Kumar</t>
        </is>
      </c>
      <c r="E7" s="12" t="inlineStr">
        <is>
          <t>Flat 402, Green Acres Apt</t>
        </is>
      </c>
      <c r="F7" s="12" t="inlineStr">
        <is>
          <t>1L Buffalo Milk</t>
        </is>
      </c>
      <c r="G7" s="11" t="inlineStr">
        <is>
          <t>Scheduled</t>
        </is>
      </c>
      <c r="H7" s="12" t="inlineStr">
        <is>
          <t>Murugan (Rider 1)</t>
        </is>
      </c>
      <c r="I7" s="11" t="inlineStr">
        <is>
          <t>--</t>
        </is>
      </c>
      <c r="J7" s="12" t="inlineStr">
        <is>
          <t>Door bag</t>
        </is>
      </c>
    </row>
    <row r="8">
      <c r="A8" s="11" t="inlineStr">
        <is>
          <t>2026-10-05</t>
        </is>
      </c>
      <c r="B8" s="11" t="inlineStr">
        <is>
          <t>06:00 - 07:00 AM</t>
        </is>
      </c>
      <c r="C8" s="11" t="inlineStr">
        <is>
          <t>TN-SUB-104</t>
        </is>
      </c>
      <c r="D8" s="12" t="inlineStr">
        <is>
          <t>Deepa Mohan</t>
        </is>
      </c>
      <c r="E8" s="12" t="inlineStr">
        <is>
          <t>Door 18, 3rd Cross Street</t>
        </is>
      </c>
      <c r="F8" s="12" t="inlineStr">
        <is>
          <t>500ml Country Cow Milk</t>
        </is>
      </c>
      <c r="G8" s="11" t="inlineStr">
        <is>
          <t>Scheduled</t>
        </is>
      </c>
      <c r="H8" s="12" t="inlineStr">
        <is>
          <t>Saravanan (Rider 2)</t>
        </is>
      </c>
      <c r="I8" s="11" t="inlineStr">
        <is>
          <t>--</t>
        </is>
      </c>
      <c r="J8" s="12" t="inlineStr">
        <is>
          <t>Milk box</t>
        </is>
      </c>
    </row>
    <row r="9">
      <c r="A9" s="11" t="inlineStr">
        <is>
          <t>2026-10-05</t>
        </is>
      </c>
      <c r="B9" s="11" t="inlineStr">
        <is>
          <t>06:00 - 07:00 AM</t>
        </is>
      </c>
      <c r="C9" s="11" t="inlineStr">
        <is>
          <t>TN-SUB-107</t>
        </is>
      </c>
      <c r="D9" s="12" t="inlineStr">
        <is>
          <t>Manoj Prabhakar</t>
        </is>
      </c>
      <c r="E9" s="12" t="inlineStr">
        <is>
          <t>No 54, Gandhi Road</t>
        </is>
      </c>
      <c r="F9" s="12" t="inlineStr">
        <is>
          <t>1L Cow Milk + 1Kg Batter</t>
        </is>
      </c>
      <c r="G9" s="11" t="inlineStr">
        <is>
          <t>Scheduled</t>
        </is>
      </c>
      <c r="H9" s="12" t="inlineStr">
        <is>
          <t>Saravanan (Rider 2)</t>
        </is>
      </c>
      <c r="I9" s="11" t="inlineStr">
        <is>
          <t>--</t>
        </is>
      </c>
      <c r="J9" s="12" t="inlineStr">
        <is>
          <t>Door hook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23" customWidth="1" min="3" max="3"/>
    <col width="22" customWidth="1" min="4" max="4"/>
    <col width="16" customWidth="1" min="5" max="5"/>
    <col width="20" customWidth="1" min="6" max="6"/>
    <col width="20" customWidth="1" min="7" max="7"/>
    <col width="23" customWidth="1" min="8" max="8"/>
    <col width="27" customWidth="1" min="9" max="9"/>
    <col width="21" customWidth="1" min="10" max="10"/>
    <col width="22" customWidth="1" min="11" max="11"/>
    <col width="18" customWidth="1" min="12" max="12"/>
    <col width="38" customWidth="1" min="13" max="13"/>
    <col width="16" customWidth="1" min="14" max="14"/>
  </cols>
  <sheetData>
    <row r="1">
      <c r="A1" s="7" t="inlineStr">
        <is>
          <t>TOMORROWNEEDS - SUBSCRIPTION FEES &amp; PAYMENT RECONCILIATION</t>
        </is>
      </c>
    </row>
    <row r="2">
      <c r="A2" s="8" t="inlineStr">
        <is>
          <t>Invoice #</t>
        </is>
      </c>
      <c r="B2" s="8" t="inlineStr">
        <is>
          <t>Cust ID</t>
        </is>
      </c>
      <c r="C2" s="8" t="inlineStr">
        <is>
          <t>Customer Name</t>
        </is>
      </c>
      <c r="D2" s="8" t="inlineStr">
        <is>
          <t>Billing Cycle</t>
        </is>
      </c>
      <c r="E2" s="8" t="inlineStr">
        <is>
          <t>Plan Fee (₹)</t>
        </is>
      </c>
      <c r="F2" s="8" t="inlineStr">
        <is>
          <t>Extra Orders (₹)</t>
        </is>
      </c>
      <c r="G2" s="8" t="inlineStr">
        <is>
          <t>Total Billed (₹)</t>
        </is>
      </c>
      <c r="H2" s="8" t="inlineStr">
        <is>
          <t>Paid via Wallet (₹)</t>
        </is>
      </c>
      <c r="I2" s="8" t="inlineStr">
        <is>
          <t>Paid via UPI / Card (₹)</t>
        </is>
      </c>
      <c r="J2" s="8" t="inlineStr">
        <is>
          <t>Cash / Direct (₹)</t>
        </is>
      </c>
      <c r="K2" s="8" t="inlineStr">
        <is>
          <t>Balance Due (₹)</t>
        </is>
      </c>
      <c r="L2" s="8" t="inlineStr">
        <is>
          <t>Payment Status</t>
        </is>
      </c>
      <c r="M2" s="8" t="inlineStr">
        <is>
          <t>Txn Reference / Notes</t>
        </is>
      </c>
      <c r="N2" s="8" t="inlineStr">
        <is>
          <t>Payment Date</t>
        </is>
      </c>
    </row>
    <row r="3">
      <c r="A3" s="11" t="inlineStr">
        <is>
          <t>INV-2026-1001</t>
        </is>
      </c>
      <c r="B3" s="11" t="inlineStr">
        <is>
          <t>TN-SUB-101</t>
        </is>
      </c>
      <c r="C3" s="12" t="inlineStr">
        <is>
          <t>Ramesh Kumar</t>
        </is>
      </c>
      <c r="D3" s="11" t="inlineStr">
        <is>
          <t>Oct 2026 (Monthly)</t>
        </is>
      </c>
      <c r="E3" s="13" t="n">
        <v>2100</v>
      </c>
      <c r="F3" s="13" t="n">
        <v>180</v>
      </c>
      <c r="G3" s="13">
        <f>E3+F3</f>
        <v/>
      </c>
      <c r="H3" s="13" t="n">
        <v>2280</v>
      </c>
      <c r="I3" s="13" t="n">
        <v>0</v>
      </c>
      <c r="J3" s="13" t="n">
        <v>0</v>
      </c>
      <c r="K3" s="13">
        <f>G3-(H3+I3+J3)</f>
        <v/>
      </c>
      <c r="L3" s="15" t="inlineStr">
        <is>
          <t>Paid in Full</t>
        </is>
      </c>
      <c r="M3" s="12" t="inlineStr">
        <is>
          <t>Auto-deducted from Wallet</t>
        </is>
      </c>
      <c r="N3" s="11" t="inlineStr">
        <is>
          <t>2026-10-01</t>
        </is>
      </c>
    </row>
    <row r="4">
      <c r="A4" s="11" t="inlineStr">
        <is>
          <t>INV-2026-1002</t>
        </is>
      </c>
      <c r="B4" s="11" t="inlineStr">
        <is>
          <t>TN-SUB-102</t>
        </is>
      </c>
      <c r="C4" s="12" t="inlineStr">
        <is>
          <t>Priya Sundaram</t>
        </is>
      </c>
      <c r="D4" s="11" t="inlineStr">
        <is>
          <t>Oct 2026 (Monthly)</t>
        </is>
      </c>
      <c r="E4" s="13" t="n">
        <v>750</v>
      </c>
      <c r="F4" s="13" t="n">
        <v>0</v>
      </c>
      <c r="G4" s="13">
        <f>E4+F4</f>
        <v/>
      </c>
      <c r="H4" s="13" t="n">
        <v>750</v>
      </c>
      <c r="I4" s="13" t="n">
        <v>0</v>
      </c>
      <c r="J4" s="13" t="n">
        <v>0</v>
      </c>
      <c r="K4" s="13">
        <f>G4-(H4+I4+J4)</f>
        <v/>
      </c>
      <c r="L4" s="15" t="inlineStr">
        <is>
          <t>Paid in Full</t>
        </is>
      </c>
      <c r="M4" s="12" t="inlineStr">
        <is>
          <t>Wallet auto-debit</t>
        </is>
      </c>
      <c r="N4" s="11" t="inlineStr">
        <is>
          <t>2026-10-01</t>
        </is>
      </c>
    </row>
    <row r="5">
      <c r="A5" s="11" t="inlineStr">
        <is>
          <t>INV-2026-1003</t>
        </is>
      </c>
      <c r="B5" s="11" t="inlineStr">
        <is>
          <t>TN-SUB-103</t>
        </is>
      </c>
      <c r="C5" s="12" t="inlineStr">
        <is>
          <t>Anand Venkatesh</t>
        </is>
      </c>
      <c r="D5" s="11" t="inlineStr">
        <is>
          <t>Oct 2026 (Monthly)</t>
        </is>
      </c>
      <c r="E5" s="13" t="n">
        <v>1400</v>
      </c>
      <c r="F5" s="13" t="n">
        <v>320</v>
      </c>
      <c r="G5" s="13">
        <f>E5+F5</f>
        <v/>
      </c>
      <c r="H5" s="13" t="n">
        <v>0</v>
      </c>
      <c r="I5" s="13" t="n">
        <v>1720</v>
      </c>
      <c r="J5" s="13" t="n">
        <v>0</v>
      </c>
      <c r="K5" s="13">
        <f>G5-(H5+I5+J5)</f>
        <v/>
      </c>
      <c r="L5" s="15" t="inlineStr">
        <is>
          <t>Paid in Full</t>
        </is>
      </c>
      <c r="M5" s="12" t="inlineStr">
        <is>
          <t>Razorpay UPI (rzp_live_xxx)</t>
        </is>
      </c>
      <c r="N5" s="11" t="inlineStr">
        <is>
          <t>2026-10-02</t>
        </is>
      </c>
    </row>
    <row r="6">
      <c r="A6" s="11" t="inlineStr">
        <is>
          <t>INV-2026-1004</t>
        </is>
      </c>
      <c r="B6" s="11" t="inlineStr">
        <is>
          <t>TN-SUB-104</t>
        </is>
      </c>
      <c r="C6" s="12" t="inlineStr">
        <is>
          <t>Deepa Mohan</t>
        </is>
      </c>
      <c r="D6" s="11" t="inlineStr">
        <is>
          <t>Oct 2026 (Monthly)</t>
        </is>
      </c>
      <c r="E6" s="13" t="n">
        <v>1200</v>
      </c>
      <c r="F6" s="13" t="n">
        <v>0</v>
      </c>
      <c r="G6" s="13">
        <f>E6+F6</f>
        <v/>
      </c>
      <c r="H6" s="13" t="n">
        <v>150</v>
      </c>
      <c r="I6" s="13" t="n">
        <v>0</v>
      </c>
      <c r="J6" s="13" t="n">
        <v>0</v>
      </c>
      <c r="K6" s="13">
        <f>G6-(H6+I6+J6)</f>
        <v/>
      </c>
      <c r="L6" s="16" t="inlineStr">
        <is>
          <t>Pending Dues</t>
        </is>
      </c>
      <c r="M6" s="12" t="inlineStr">
        <is>
          <t>Insufficient wallet; reminder sent</t>
        </is>
      </c>
      <c r="N6" s="11" t="inlineStr">
        <is>
          <t>Pending</t>
        </is>
      </c>
    </row>
    <row r="7">
      <c r="A7" s="11" t="inlineStr">
        <is>
          <t>INV-2026-1005</t>
        </is>
      </c>
      <c r="B7" s="11" t="inlineStr">
        <is>
          <t>TN-SUB-105</t>
        </is>
      </c>
      <c r="C7" s="12" t="inlineStr">
        <is>
          <t>Karthik Subramanian</t>
        </is>
      </c>
      <c r="D7" s="11" t="inlineStr">
        <is>
          <t>Oct 2026 (Monthly)</t>
        </is>
      </c>
      <c r="E7" s="13" t="n">
        <v>900</v>
      </c>
      <c r="F7" s="13" t="n">
        <v>0</v>
      </c>
      <c r="G7" s="13">
        <f>E7+F7</f>
        <v/>
      </c>
      <c r="H7" s="13" t="n">
        <v>900</v>
      </c>
      <c r="I7" s="13" t="n">
        <v>0</v>
      </c>
      <c r="J7" s="13" t="n">
        <v>0</v>
      </c>
      <c r="K7" s="13">
        <f>G7-(H7+I7+J7)</f>
        <v/>
      </c>
      <c r="L7" s="15" t="inlineStr">
        <is>
          <t>Paid in Full</t>
        </is>
      </c>
      <c r="M7" s="12" t="inlineStr">
        <is>
          <t>Wallet balance debit</t>
        </is>
      </c>
      <c r="N7" s="11" t="inlineStr">
        <is>
          <t>2026-10-01</t>
        </is>
      </c>
    </row>
    <row r="8">
      <c r="A8" s="11" t="inlineStr">
        <is>
          <t>INV-2026-1006</t>
        </is>
      </c>
      <c r="B8" s="11" t="inlineStr">
        <is>
          <t>TN-SUB-107</t>
        </is>
      </c>
      <c r="C8" s="12" t="inlineStr">
        <is>
          <t>Manoj Prabhakar</t>
        </is>
      </c>
      <c r="D8" s="11" t="inlineStr">
        <is>
          <t>Oct 2026 (Monthly)</t>
        </is>
      </c>
      <c r="E8" s="13" t="n">
        <v>2850</v>
      </c>
      <c r="F8" s="13" t="n">
        <v>450</v>
      </c>
      <c r="G8" s="13">
        <f>E8+F8</f>
        <v/>
      </c>
      <c r="H8" s="13" t="n">
        <v>2850</v>
      </c>
      <c r="I8" s="13" t="n">
        <v>450</v>
      </c>
      <c r="J8" s="13" t="n">
        <v>0</v>
      </c>
      <c r="K8" s="13">
        <f>G8-(H8+I8+J8)</f>
        <v/>
      </c>
      <c r="L8" s="15" t="inlineStr">
        <is>
          <t>Paid in Full</t>
        </is>
      </c>
      <c r="M8" s="12" t="inlineStr">
        <is>
          <t>Wallet (2850) + UPI (450)</t>
        </is>
      </c>
      <c r="N8" s="11" t="inlineStr">
        <is>
          <t>2026-10-01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32" customWidth="1" min="2" max="2"/>
    <col width="16" customWidth="1" min="3" max="3"/>
    <col width="20" customWidth="1" min="4" max="4"/>
    <col width="37" customWidth="1" min="5" max="5"/>
    <col width="35" customWidth="1" min="6" max="6"/>
    <col width="34" customWidth="1" min="7" max="7"/>
    <col width="26" customWidth="1" min="8" max="8"/>
    <col width="38" customWidth="1" min="9" max="9"/>
    <col width="28" customWidth="1" min="10" max="10"/>
    <col width="20" customWidth="1" min="11" max="11"/>
  </cols>
  <sheetData>
    <row r="1">
      <c r="A1" s="7" t="inlineStr">
        <is>
          <t>TOMORROWNEEDS - DAILY RECURRING DEMAND &amp; PROCUREMENT PLANNER</t>
        </is>
      </c>
    </row>
    <row r="2">
      <c r="A2" s="8" t="inlineStr">
        <is>
          <t>Item ID</t>
        </is>
      </c>
      <c r="B2" s="8" t="inlineStr">
        <is>
          <t>Item Name</t>
        </is>
      </c>
      <c r="C2" s="8" t="inlineStr">
        <is>
          <t>Category</t>
        </is>
      </c>
      <c r="D2" s="8" t="inlineStr">
        <is>
          <t>Pack Size / Unit</t>
        </is>
      </c>
      <c r="E2" s="8" t="inlineStr">
        <is>
          <t>Active Daily Subscriptions Demand</t>
        </is>
      </c>
      <c r="F2" s="8" t="inlineStr">
        <is>
          <t>Buffer / Extra On-Demand Orders</t>
        </is>
      </c>
      <c r="G2" s="8" t="inlineStr">
        <is>
          <t>Total Daily Procurement Target</t>
        </is>
      </c>
      <c r="H2" s="8" t="inlineStr">
        <is>
          <t>Vendor Cost / Unit (₹)</t>
        </is>
      </c>
      <c r="I2" s="8" t="inlineStr">
        <is>
          <t>Total Daily Procurement Budget (₹)</t>
        </is>
      </c>
      <c r="J2" s="8" t="inlineStr">
        <is>
          <t>Retail Selling Price (₹)</t>
        </is>
      </c>
      <c r="K2" s="8" t="inlineStr">
        <is>
          <t>Daily Margin (₹)</t>
        </is>
      </c>
    </row>
    <row r="3">
      <c r="A3" s="11" t="inlineStr">
        <is>
          <t>ITM-01</t>
        </is>
      </c>
      <c r="B3" s="12" t="inlineStr">
        <is>
          <t>Fresh Buffalo Milk</t>
        </is>
      </c>
      <c r="C3" s="11" t="inlineStr">
        <is>
          <t>Milk &amp; Dairy</t>
        </is>
      </c>
      <c r="D3" s="11" t="inlineStr">
        <is>
          <t>1 Litre Pouch</t>
        </is>
      </c>
      <c r="E3" s="17" t="n">
        <v>18</v>
      </c>
      <c r="F3" s="17" t="n">
        <v>5</v>
      </c>
      <c r="G3" s="17">
        <f>E3+F3</f>
        <v/>
      </c>
      <c r="H3" s="13" t="n">
        <v>52</v>
      </c>
      <c r="I3" s="13">
        <f>G3*H3</f>
        <v/>
      </c>
      <c r="J3" s="13" t="n">
        <v>70</v>
      </c>
      <c r="K3" s="18">
        <f>(J3-H3)*G3</f>
        <v/>
      </c>
    </row>
    <row r="4">
      <c r="A4" s="11" t="inlineStr">
        <is>
          <t>ITM-02</t>
        </is>
      </c>
      <c r="B4" s="12" t="inlineStr">
        <is>
          <t>Country Cow Milk (Pure A2)</t>
        </is>
      </c>
      <c r="C4" s="11" t="inlineStr">
        <is>
          <t>Milk &amp; Dairy</t>
        </is>
      </c>
      <c r="D4" s="11" t="inlineStr">
        <is>
          <t>500 ml Pouch</t>
        </is>
      </c>
      <c r="E4" s="17" t="n">
        <v>24</v>
      </c>
      <c r="F4" s="17" t="n">
        <v>6</v>
      </c>
      <c r="G4" s="17">
        <f>E4+F4</f>
        <v/>
      </c>
      <c r="H4" s="13" t="n">
        <v>30</v>
      </c>
      <c r="I4" s="13">
        <f>G4*H4</f>
        <v/>
      </c>
      <c r="J4" s="13" t="n">
        <v>40</v>
      </c>
      <c r="K4" s="18">
        <f>(J4-H4)*G4</f>
        <v/>
      </c>
    </row>
    <row r="5">
      <c r="A5" s="11" t="inlineStr">
        <is>
          <t>ITM-03</t>
        </is>
      </c>
      <c r="B5" s="12" t="inlineStr">
        <is>
          <t>Fresh Idli/Dosa Batter</t>
        </is>
      </c>
      <c r="C5" s="11" t="inlineStr">
        <is>
          <t>Batters</t>
        </is>
      </c>
      <c r="D5" s="11" t="inlineStr">
        <is>
          <t>1 Kg Pouch</t>
        </is>
      </c>
      <c r="E5" s="17" t="n">
        <v>14</v>
      </c>
      <c r="F5" s="17" t="n">
        <v>8</v>
      </c>
      <c r="G5" s="17">
        <f>E5+F5</f>
        <v/>
      </c>
      <c r="H5" s="13" t="n">
        <v>35</v>
      </c>
      <c r="I5" s="13">
        <f>G5*H5</f>
        <v/>
      </c>
      <c r="J5" s="13" t="n">
        <v>50</v>
      </c>
      <c r="K5" s="18">
        <f>(J5-H5)*G5</f>
        <v/>
      </c>
    </row>
    <row r="6">
      <c r="A6" s="11" t="inlineStr">
        <is>
          <t>ITM-04</t>
        </is>
      </c>
      <c r="B6" s="12" t="inlineStr">
        <is>
          <t>Organic Vegetable Basket</t>
        </is>
      </c>
      <c r="C6" s="11" t="inlineStr">
        <is>
          <t>Vegetables</t>
        </is>
      </c>
      <c r="D6" s="11" t="inlineStr">
        <is>
          <t>5 Kg Assorted</t>
        </is>
      </c>
      <c r="E6" s="17" t="n">
        <v>8</v>
      </c>
      <c r="F6" s="17" t="n">
        <v>3</v>
      </c>
      <c r="G6" s="17">
        <f>E6+F6</f>
        <v/>
      </c>
      <c r="H6" s="13" t="n">
        <v>240</v>
      </c>
      <c r="I6" s="13">
        <f>G6*H6</f>
        <v/>
      </c>
      <c r="J6" s="13" t="n">
        <v>350</v>
      </c>
      <c r="K6" s="18">
        <f>(J6-H6)*G6</f>
        <v/>
      </c>
    </row>
    <row r="7">
      <c r="A7" s="11" t="inlineStr">
        <is>
          <t>ITM-05</t>
        </is>
      </c>
      <c r="B7" s="12" t="inlineStr">
        <is>
          <t>Fresh Spinach &amp; Greens Combo</t>
        </is>
      </c>
      <c r="C7" s="11" t="inlineStr">
        <is>
          <t>Greens</t>
        </is>
      </c>
      <c r="D7" s="11" t="inlineStr">
        <is>
          <t>2 Bunches</t>
        </is>
      </c>
      <c r="E7" s="17" t="n">
        <v>12</v>
      </c>
      <c r="F7" s="17" t="n">
        <v>4</v>
      </c>
      <c r="G7" s="17">
        <f>E7+F7</f>
        <v/>
      </c>
      <c r="H7" s="13" t="n">
        <v>18</v>
      </c>
      <c r="I7" s="13">
        <f>G7*H7</f>
        <v/>
      </c>
      <c r="J7" s="13" t="n">
        <v>30</v>
      </c>
      <c r="K7" s="18">
        <f>(J7-H7)*G7</f>
        <v/>
      </c>
    </row>
    <row r="8">
      <c r="A8" s="11" t="inlineStr">
        <is>
          <t>ITM-06</t>
        </is>
      </c>
      <c r="B8" s="12" t="inlineStr">
        <is>
          <t>Cold-Pressed Sesame Oil</t>
        </is>
      </c>
      <c r="C8" s="11" t="inlineStr">
        <is>
          <t>Oils</t>
        </is>
      </c>
      <c r="D8" s="11" t="inlineStr">
        <is>
          <t>1 Litre Bottle</t>
        </is>
      </c>
      <c r="E8" s="17" t="n">
        <v>5</v>
      </c>
      <c r="F8" s="17" t="n">
        <v>2</v>
      </c>
      <c r="G8" s="17">
        <f>E8+F8</f>
        <v/>
      </c>
      <c r="H8" s="13" t="n">
        <v>280</v>
      </c>
      <c r="I8" s="13">
        <f>G8*H8</f>
        <v/>
      </c>
      <c r="J8" s="13" t="n">
        <v>380</v>
      </c>
      <c r="K8" s="18">
        <f>(J8-H8)*G8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2026-10-03T15:33:48Z</dcterms:created>
  <dcterms:modified xmlns:dcterms="http://purl.org/dc/terms/" xmlns:xsi="http://www.w3.org/2001/XMLSchema-instance" xsi:type="dcterms:W3CDTF">2026-10-03T15:33:48Z</dcterms:modified>
</cp:coreProperties>
</file>